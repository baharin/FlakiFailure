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khouloud's feedback\data for khouloud\results\"/>
    </mc:Choice>
  </mc:AlternateContent>
  <xr:revisionPtr revIDLastSave="0" documentId="13_ncr:1_{E1AA9602-74FF-408D-B145-D20835754ADF}" xr6:coauthVersionLast="47" xr6:coauthVersionMax="47" xr10:uidLastSave="{00000000-0000-0000-0000-000000000000}"/>
  <bookViews>
    <workbookView xWindow="57480" yWindow="-120" windowWidth="29040" windowHeight="17640" xr2:uid="{FAD0F5B8-22E0-437B-BC69-4C41CB8F4361}"/>
  </bookViews>
  <sheets>
    <sheet name="without rep accurac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25" i="1"/>
  <c r="L24" i="1"/>
  <c r="L23" i="1"/>
  <c r="L22" i="1"/>
  <c r="L21" i="1"/>
  <c r="L17" i="1"/>
  <c r="L18" i="1"/>
  <c r="L19" i="1"/>
  <c r="L20" i="1"/>
  <c r="L16" i="1"/>
  <c r="AA27" i="1"/>
  <c r="V27" i="1"/>
  <c r="L27" i="1"/>
  <c r="V26" i="1"/>
  <c r="AA26" i="1"/>
  <c r="Q26" i="1"/>
  <c r="G26" i="1"/>
  <c r="AA25" i="1"/>
  <c r="Q25" i="1"/>
  <c r="G25" i="1"/>
  <c r="V24" i="1"/>
  <c r="AA24" i="1"/>
  <c r="Q24" i="1"/>
  <c r="G24" i="1"/>
  <c r="G23" i="1"/>
  <c r="AA23" i="1"/>
  <c r="Q23" i="1"/>
  <c r="V22" i="1"/>
  <c r="V21" i="1"/>
  <c r="V20" i="1"/>
  <c r="V19" i="1"/>
  <c r="AA22" i="1"/>
  <c r="AA21" i="1"/>
  <c r="AA20" i="1"/>
  <c r="AA19" i="1"/>
  <c r="Q22" i="1"/>
  <c r="Q21" i="1"/>
  <c r="Q20" i="1"/>
  <c r="Q19" i="1"/>
  <c r="G22" i="1"/>
  <c r="G21" i="1"/>
  <c r="G20" i="1"/>
  <c r="G19" i="1"/>
  <c r="AA18" i="1"/>
  <c r="V18" i="1"/>
  <c r="Q18" i="1"/>
  <c r="G18" i="1"/>
  <c r="AA17" i="1"/>
  <c r="V17" i="1"/>
  <c r="Q17" i="1"/>
  <c r="G17" i="1"/>
  <c r="B19" i="1"/>
  <c r="B20" i="1"/>
  <c r="B21" i="1"/>
  <c r="B22" i="1"/>
  <c r="B24" i="1"/>
  <c r="B26" i="1"/>
  <c r="AA16" i="1"/>
  <c r="V16" i="1"/>
  <c r="Q16" i="1"/>
  <c r="G16" i="1"/>
  <c r="G15" i="1" l="1"/>
  <c r="B15" i="1"/>
  <c r="L13" i="1"/>
  <c r="L7" i="1"/>
  <c r="L15" i="1"/>
  <c r="Q15" i="1"/>
  <c r="V15" i="1"/>
  <c r="AA15" i="1"/>
  <c r="AA12" i="1" l="1"/>
  <c r="V12" i="1"/>
  <c r="Q12" i="1"/>
  <c r="G12" i="1"/>
  <c r="B12" i="1"/>
  <c r="L14" i="1"/>
  <c r="B14" i="1"/>
  <c r="G14" i="1"/>
  <c r="AA4" i="1"/>
  <c r="AA5" i="1"/>
  <c r="AA7" i="1"/>
  <c r="AA8" i="1"/>
  <c r="AA9" i="1"/>
  <c r="AA11" i="1"/>
  <c r="AA13" i="1"/>
  <c r="AA3" i="1"/>
  <c r="V4" i="1"/>
  <c r="V5" i="1"/>
  <c r="V7" i="1"/>
  <c r="V8" i="1"/>
  <c r="V9" i="1"/>
  <c r="V10" i="1"/>
  <c r="V11" i="1"/>
  <c r="V13" i="1"/>
  <c r="V3" i="1"/>
  <c r="Q13" i="1" l="1"/>
  <c r="G13" i="1"/>
  <c r="B13" i="1"/>
  <c r="Q4" i="1"/>
  <c r="Q5" i="1"/>
  <c r="Q8" i="1"/>
  <c r="Q9" i="1"/>
  <c r="Q10" i="1"/>
  <c r="Q11" i="1"/>
  <c r="Q3" i="1"/>
</calcChain>
</file>

<file path=xl/sharedStrings.xml><?xml version="1.0" encoding="utf-8"?>
<sst xmlns="http://schemas.openxmlformats.org/spreadsheetml/2006/main" count="73" uniqueCount="38">
  <si>
    <t>Technique</t>
  </si>
  <si>
    <t>DR</t>
  </si>
  <si>
    <t>Dave2 - CMP</t>
  </si>
  <si>
    <t>f1score</t>
  </si>
  <si>
    <t>fail precision</t>
  </si>
  <si>
    <t>fail recall</t>
  </si>
  <si>
    <t xml:space="preserve"> </t>
  </si>
  <si>
    <t>INCAL - With-Output</t>
  </si>
  <si>
    <t>GenRule - Naish (max_depth = 5)</t>
  </si>
  <si>
    <t>GenRule - Tarantula  (max_depth = 5)</t>
  </si>
  <si>
    <t>GenRule - Ochiai  (max_depth = 5)</t>
  </si>
  <si>
    <t>RS - Naish  (max_depth = 5)</t>
  </si>
  <si>
    <t>RS - Tarantula  (max_depth = 5)</t>
  </si>
  <si>
    <t>RS - Ochiai  (max_depth = 5)</t>
  </si>
  <si>
    <t>RS - Khouloud Fitness  (max_depth = 5)</t>
  </si>
  <si>
    <t>DT (default param) - Fail path that covers….</t>
  </si>
  <si>
    <t>Learn2Fix-DT - Fail path that covers….</t>
  </si>
  <si>
    <t>DT (max_depth = 5) - Fail path that covers….</t>
  </si>
  <si>
    <t>DT (max_depth = 4) - Fail path that covers….</t>
  </si>
  <si>
    <t>DT (max_depth = 3) - Fail path that covers….</t>
  </si>
  <si>
    <t>DT (max_depth = 2 ) - Fail path that covers….</t>
  </si>
  <si>
    <t>DT (max_depth = 5) - Any path that covers….</t>
  </si>
  <si>
    <t>DT (max_depth = 4) - Any path that covers….</t>
  </si>
  <si>
    <t>DT (max_depth = 3) - Any path that covers….</t>
  </si>
  <si>
    <t>DT (max_depth = 2 ) - Any path that covers….</t>
  </si>
  <si>
    <t>DT (min_sample_size = 10% dataset size without setting max_depth) - Fail path that covers….</t>
  </si>
  <si>
    <t>DT (min_sample_size = 10% dataset size, max_depth =2 ) - Fail path that covers….</t>
  </si>
  <si>
    <t>DT (min_sample_size = 10% dataset size without setting max_depth) - Any path that covers….</t>
  </si>
  <si>
    <t>DT (min_sample_size = 10% dataset size, max_depth =2 ) - Any path that covers….</t>
  </si>
  <si>
    <t>-</t>
  </si>
  <si>
    <t>DT (default param) - Any path that covers….</t>
  </si>
  <si>
    <t>GenRule - Khouloud Fitness (max_depth = 5)</t>
  </si>
  <si>
    <t xml:space="preserve">BNG AI - CMP </t>
  </si>
  <si>
    <t xml:space="preserve">NTSS  </t>
  </si>
  <si>
    <t xml:space="preserve">BNG - R1 - Keeplane </t>
  </si>
  <si>
    <t>BNG - R4 - Distance</t>
  </si>
  <si>
    <t>BNG - R2 - Damage</t>
  </si>
  <si>
    <t>BNG - R3 -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</si>
</sst>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52D3-3614-4FD1-B300-BF06CAFC3E31}">
  <dimension ref="A1:AF27"/>
  <sheetViews>
    <sheetView tabSelected="1" workbookViewId="0">
      <pane xSplit="1" topLeftCell="B1" activePane="topRight" state="frozen"/>
      <selection pane="topRight" activeCell="C30" sqref="C30"/>
    </sheetView>
  </sheetViews>
  <sheetFormatPr defaultRowHeight="14.75" x14ac:dyDescent="0.75"/>
  <cols>
    <col min="1" max="1" width="46.40625" style="1" customWidth="1"/>
    <col min="2" max="2" width="31.90625" customWidth="1"/>
    <col min="3" max="3" width="16.953125" bestFit="1" customWidth="1"/>
    <col min="4" max="4" width="11.6796875" bestFit="1" customWidth="1"/>
    <col min="5" max="5" width="17.2265625" bestFit="1" customWidth="1"/>
    <col min="6" max="6" width="31.1328125" customWidth="1"/>
    <col min="7" max="7" width="17.2265625" bestFit="1" customWidth="1"/>
    <col min="8" max="8" width="10.953125" bestFit="1" customWidth="1"/>
    <col min="9" max="9" width="8" bestFit="1" customWidth="1"/>
    <col min="10" max="10" width="19.58984375" bestFit="1" customWidth="1"/>
    <col min="11" max="12" width="8.7265625" customWidth="1"/>
    <col min="13" max="13" width="11.76953125" customWidth="1"/>
    <col min="14" max="14" width="17.36328125" bestFit="1" customWidth="1"/>
    <col min="17" max="17" width="20.08984375" customWidth="1"/>
    <col min="18" max="18" width="10.953125" bestFit="1" customWidth="1"/>
    <col min="21" max="21" width="17.36328125" bestFit="1" customWidth="1"/>
    <col min="23" max="23" width="10.953125" bestFit="1" customWidth="1"/>
    <col min="28" max="28" width="10.953125" bestFit="1" customWidth="1"/>
  </cols>
  <sheetData>
    <row r="1" spans="1:32" s="2" customFormat="1" x14ac:dyDescent="0.75">
      <c r="A1" s="2" t="s">
        <v>0</v>
      </c>
      <c r="B1" s="2" t="s">
        <v>32</v>
      </c>
      <c r="E1" s="2" t="s">
        <v>6</v>
      </c>
      <c r="G1" s="2" t="s">
        <v>2</v>
      </c>
      <c r="J1" s="2" t="s">
        <v>6</v>
      </c>
      <c r="L1" s="2" t="s">
        <v>33</v>
      </c>
      <c r="O1" s="2" t="s">
        <v>6</v>
      </c>
      <c r="P1" s="2" t="s">
        <v>6</v>
      </c>
      <c r="Q1" s="2" t="s">
        <v>34</v>
      </c>
      <c r="T1" s="2" t="s">
        <v>6</v>
      </c>
      <c r="U1" s="2" t="s">
        <v>6</v>
      </c>
      <c r="V1" s="2" t="s">
        <v>35</v>
      </c>
      <c r="Y1" s="2" t="s">
        <v>6</v>
      </c>
      <c r="Z1" s="2" t="s">
        <v>6</v>
      </c>
      <c r="AA1" s="2" t="s">
        <v>36</v>
      </c>
      <c r="AD1" s="2" t="s">
        <v>6</v>
      </c>
      <c r="AE1" s="2" t="s">
        <v>6</v>
      </c>
      <c r="AF1" s="2" t="s">
        <v>37</v>
      </c>
    </row>
    <row r="2" spans="1:32" x14ac:dyDescent="0.75">
      <c r="B2" t="s">
        <v>3</v>
      </c>
      <c r="C2" t="s">
        <v>4</v>
      </c>
      <c r="D2" t="s">
        <v>5</v>
      </c>
      <c r="G2" t="s">
        <v>3</v>
      </c>
      <c r="H2" t="s">
        <v>4</v>
      </c>
      <c r="I2" t="s">
        <v>5</v>
      </c>
      <c r="L2" t="s">
        <v>3</v>
      </c>
      <c r="M2" t="s">
        <v>4</v>
      </c>
      <c r="N2" t="s">
        <v>5</v>
      </c>
      <c r="Q2" t="s">
        <v>3</v>
      </c>
      <c r="R2" t="s">
        <v>4</v>
      </c>
      <c r="S2" t="s">
        <v>5</v>
      </c>
      <c r="V2" t="s">
        <v>3</v>
      </c>
      <c r="W2" t="s">
        <v>4</v>
      </c>
      <c r="X2" t="s">
        <v>5</v>
      </c>
      <c r="AA2" t="s">
        <v>3</v>
      </c>
      <c r="AB2" t="s">
        <v>4</v>
      </c>
      <c r="AC2" t="s">
        <v>5</v>
      </c>
    </row>
    <row r="3" spans="1:32" x14ac:dyDescent="0.75">
      <c r="A3" s="1" t="s">
        <v>8</v>
      </c>
      <c r="B3">
        <v>0.34300000000000003</v>
      </c>
      <c r="C3">
        <v>0.2611</v>
      </c>
      <c r="D3">
        <v>0.5</v>
      </c>
      <c r="G3">
        <v>0.75900000000000001</v>
      </c>
      <c r="H3">
        <v>0.64470000000000005</v>
      </c>
      <c r="I3">
        <v>0.92449999999999999</v>
      </c>
      <c r="L3">
        <v>0.72609999999999997</v>
      </c>
      <c r="M3">
        <v>0.56999999999999995</v>
      </c>
      <c r="N3">
        <v>1</v>
      </c>
      <c r="Q3">
        <f>(2*R3*S3)/(S3+R3)</f>
        <v>0.93048128342245984</v>
      </c>
      <c r="R3">
        <v>0.87</v>
      </c>
      <c r="S3">
        <v>1</v>
      </c>
      <c r="V3">
        <f>(2*W3*X3)/(W3+X3)</f>
        <v>0.42818895966029724</v>
      </c>
      <c r="W3">
        <v>0.32900000000000001</v>
      </c>
      <c r="X3">
        <v>0.61299999999999999</v>
      </c>
      <c r="AA3">
        <f>(2*AB3*AC3)/(AB3+AC3)</f>
        <v>0.79518072289156627</v>
      </c>
      <c r="AB3">
        <v>0.66</v>
      </c>
      <c r="AC3">
        <v>1</v>
      </c>
    </row>
    <row r="4" spans="1:32" x14ac:dyDescent="0.75">
      <c r="A4" s="1" t="s">
        <v>9</v>
      </c>
      <c r="B4">
        <v>1.7999999999999999E-2</v>
      </c>
      <c r="C4">
        <v>0.05</v>
      </c>
      <c r="D4">
        <v>1.0999999999999999E-2</v>
      </c>
      <c r="G4">
        <v>0.51160000000000005</v>
      </c>
      <c r="H4">
        <v>0.82399999999999995</v>
      </c>
      <c r="I4">
        <v>0.371</v>
      </c>
      <c r="L4">
        <v>0.76419999999999999</v>
      </c>
      <c r="M4">
        <v>0.79</v>
      </c>
      <c r="N4">
        <v>0.74</v>
      </c>
      <c r="Q4">
        <f t="shared" ref="Q4:Q18" si="0">(2*R4*S4)/(S4+R4)</f>
        <v>0.13584905660377358</v>
      </c>
      <c r="R4">
        <v>0.45</v>
      </c>
      <c r="S4">
        <v>0.08</v>
      </c>
      <c r="V4">
        <f t="shared" ref="V4:V26" si="1">(2*W4*X4)/(W4+X4)</f>
        <v>5.5794392523364482E-2</v>
      </c>
      <c r="W4">
        <v>0.39800000000000002</v>
      </c>
      <c r="X4">
        <v>0.03</v>
      </c>
      <c r="AA4">
        <f t="shared" ref="AA4:AA13" si="2">(2*AB4*AC4)/(AB4+AC4)</f>
        <v>0.2</v>
      </c>
      <c r="AB4">
        <v>0.5</v>
      </c>
      <c r="AC4">
        <v>0.125</v>
      </c>
    </row>
    <row r="5" spans="1:32" x14ac:dyDescent="0.75">
      <c r="A5" s="1" t="s">
        <v>10</v>
      </c>
      <c r="B5">
        <v>0.33829999999999999</v>
      </c>
      <c r="C5">
        <v>0.20699999999999999</v>
      </c>
      <c r="D5">
        <v>0.91659999999999997</v>
      </c>
      <c r="G5">
        <v>0.75900000000000001</v>
      </c>
      <c r="H5">
        <v>0.64470000000000005</v>
      </c>
      <c r="I5">
        <v>0.92449999999999999</v>
      </c>
      <c r="L5">
        <v>0.73419999999999996</v>
      </c>
      <c r="M5">
        <v>0.57999999999999996</v>
      </c>
      <c r="N5">
        <v>1</v>
      </c>
      <c r="Q5">
        <f t="shared" si="0"/>
        <v>0.93048128342245984</v>
      </c>
      <c r="R5">
        <v>0.87</v>
      </c>
      <c r="S5">
        <v>1</v>
      </c>
      <c r="V5">
        <f t="shared" si="1"/>
        <v>0.44247347585114799</v>
      </c>
      <c r="W5">
        <v>0.28599999999999998</v>
      </c>
      <c r="X5">
        <v>0.97699999999999998</v>
      </c>
      <c r="AA5">
        <f t="shared" si="2"/>
        <v>0.79518072289156627</v>
      </c>
      <c r="AB5">
        <v>0.66</v>
      </c>
      <c r="AC5">
        <v>1</v>
      </c>
    </row>
    <row r="6" spans="1:32" x14ac:dyDescent="0.75">
      <c r="A6" s="1" t="s">
        <v>31</v>
      </c>
    </row>
    <row r="7" spans="1:32" x14ac:dyDescent="0.75">
      <c r="A7" s="1" t="s">
        <v>15</v>
      </c>
      <c r="B7">
        <v>0</v>
      </c>
      <c r="C7">
        <v>0</v>
      </c>
      <c r="D7">
        <v>0</v>
      </c>
      <c r="G7">
        <v>0.36899999999999999</v>
      </c>
      <c r="H7">
        <v>1</v>
      </c>
      <c r="I7">
        <v>0.22600000000000001</v>
      </c>
      <c r="L7">
        <f>(2*M7*N7)/(M7+N7)</f>
        <v>0.7349093351242445</v>
      </c>
      <c r="M7">
        <v>0.82899999999999996</v>
      </c>
      <c r="N7">
        <v>0.66</v>
      </c>
      <c r="Q7">
        <v>0</v>
      </c>
      <c r="R7">
        <v>0</v>
      </c>
      <c r="S7">
        <v>0</v>
      </c>
      <c r="V7">
        <f t="shared" si="1"/>
        <v>4.044117647058823E-2</v>
      </c>
      <c r="W7">
        <v>0.25</v>
      </c>
      <c r="X7">
        <v>2.1999999999999999E-2</v>
      </c>
      <c r="AA7">
        <f t="shared" si="2"/>
        <v>0.4</v>
      </c>
      <c r="AB7">
        <v>1</v>
      </c>
      <c r="AC7">
        <v>0.25</v>
      </c>
    </row>
    <row r="8" spans="1:32" x14ac:dyDescent="0.75">
      <c r="A8" s="1" t="s">
        <v>1</v>
      </c>
      <c r="B8">
        <v>0.05</v>
      </c>
      <c r="C8">
        <v>0.4375</v>
      </c>
      <c r="D8">
        <v>2.7E-2</v>
      </c>
      <c r="G8">
        <v>0.47099999999999997</v>
      </c>
      <c r="H8">
        <v>0.66</v>
      </c>
      <c r="I8">
        <v>0.36699999999999999</v>
      </c>
      <c r="L8">
        <v>0.25679999999999997</v>
      </c>
      <c r="M8">
        <v>0.63500000000000001</v>
      </c>
      <c r="N8">
        <v>0.161</v>
      </c>
      <c r="Q8">
        <f t="shared" si="0"/>
        <v>0.12</v>
      </c>
      <c r="R8">
        <v>0.15</v>
      </c>
      <c r="S8">
        <v>0.1</v>
      </c>
      <c r="V8">
        <f t="shared" si="1"/>
        <v>3.0673575129533677E-2</v>
      </c>
      <c r="W8">
        <v>0.37</v>
      </c>
      <c r="X8">
        <v>1.6E-2</v>
      </c>
      <c r="AA8">
        <f t="shared" si="2"/>
        <v>0.54545454545454541</v>
      </c>
      <c r="AB8">
        <v>1</v>
      </c>
      <c r="AC8">
        <v>0.375</v>
      </c>
    </row>
    <row r="9" spans="1:32" x14ac:dyDescent="0.75">
      <c r="A9" s="1" t="s">
        <v>11</v>
      </c>
      <c r="B9">
        <v>0.36399999999999999</v>
      </c>
      <c r="C9">
        <v>0.24099999999999999</v>
      </c>
      <c r="D9">
        <v>0.75</v>
      </c>
      <c r="G9">
        <v>0.75900000000000001</v>
      </c>
      <c r="H9">
        <v>0.64400000000000002</v>
      </c>
      <c r="I9">
        <v>0.92449999999999999</v>
      </c>
      <c r="L9">
        <v>0.68420000000000003</v>
      </c>
      <c r="M9">
        <v>0.52</v>
      </c>
      <c r="N9">
        <v>1</v>
      </c>
      <c r="Q9">
        <f t="shared" si="0"/>
        <v>0.93048128342245984</v>
      </c>
      <c r="R9">
        <v>0.87</v>
      </c>
      <c r="S9">
        <v>1</v>
      </c>
      <c r="V9">
        <f t="shared" si="1"/>
        <v>0.42818895966029724</v>
      </c>
      <c r="W9">
        <v>0.32900000000000001</v>
      </c>
      <c r="X9">
        <v>0.61299999999999999</v>
      </c>
      <c r="AA9">
        <f t="shared" si="2"/>
        <v>0.79518072289156627</v>
      </c>
      <c r="AB9">
        <v>0.66</v>
      </c>
      <c r="AC9">
        <v>1</v>
      </c>
    </row>
    <row r="10" spans="1:32" x14ac:dyDescent="0.75">
      <c r="A10" s="1" t="s">
        <v>12</v>
      </c>
      <c r="B10">
        <v>8.9099999999999999E-2</v>
      </c>
      <c r="C10">
        <v>0.23480000000000001</v>
      </c>
      <c r="D10">
        <v>5.5E-2</v>
      </c>
      <c r="G10">
        <v>0.59799999999999998</v>
      </c>
      <c r="H10">
        <v>0.79200000000000004</v>
      </c>
      <c r="I10">
        <v>0.48099999999999998</v>
      </c>
      <c r="L10">
        <v>0.41980000000000001</v>
      </c>
      <c r="M10">
        <v>0.43</v>
      </c>
      <c r="N10">
        <v>0.41</v>
      </c>
      <c r="Q10">
        <f t="shared" si="0"/>
        <v>0.18276923076923077</v>
      </c>
      <c r="R10">
        <v>0.54</v>
      </c>
      <c r="S10">
        <v>0.11</v>
      </c>
      <c r="V10">
        <f t="shared" si="1"/>
        <v>7.0670553935860067E-2</v>
      </c>
      <c r="W10">
        <v>0.30299999999999999</v>
      </c>
      <c r="X10">
        <v>0.04</v>
      </c>
      <c r="AA10">
        <v>0</v>
      </c>
      <c r="AB10">
        <v>0</v>
      </c>
      <c r="AC10">
        <v>0</v>
      </c>
    </row>
    <row r="11" spans="1:32" x14ac:dyDescent="0.75">
      <c r="A11" s="1" t="s">
        <v>13</v>
      </c>
      <c r="B11">
        <v>0.33800000000000002</v>
      </c>
      <c r="C11">
        <v>0.20749999999999999</v>
      </c>
      <c r="D11">
        <v>0.91659999999999997</v>
      </c>
      <c r="G11">
        <v>0.71799999999999997</v>
      </c>
      <c r="H11">
        <v>0.57299999999999995</v>
      </c>
      <c r="I11">
        <v>0.96199999999999997</v>
      </c>
      <c r="L11">
        <v>0.66900000000000004</v>
      </c>
      <c r="M11">
        <v>0.5</v>
      </c>
      <c r="N11">
        <v>1</v>
      </c>
      <c r="Q11">
        <f t="shared" si="0"/>
        <v>0.87005649717514122</v>
      </c>
      <c r="R11">
        <v>0.77</v>
      </c>
      <c r="S11">
        <v>1</v>
      </c>
      <c r="V11">
        <f t="shared" si="1"/>
        <v>0.44247347585114799</v>
      </c>
      <c r="W11">
        <v>0.28599999999999998</v>
      </c>
      <c r="X11">
        <v>0.97699999999999998</v>
      </c>
      <c r="AA11">
        <f t="shared" si="2"/>
        <v>0.79518072289156627</v>
      </c>
      <c r="AB11">
        <v>0.66</v>
      </c>
      <c r="AC11">
        <v>1</v>
      </c>
    </row>
    <row r="12" spans="1:32" x14ac:dyDescent="0.75">
      <c r="A12" s="1" t="s">
        <v>14</v>
      </c>
      <c r="B12">
        <f>(2*C12*D12)/(C12+D12)</f>
        <v>3.9428571428571431E-2</v>
      </c>
      <c r="C12">
        <v>0.13800000000000001</v>
      </c>
      <c r="D12">
        <v>2.3E-2</v>
      </c>
      <c r="G12">
        <f t="shared" ref="G12:G26" si="3">(2*H12*I12)/(H12+I12)</f>
        <v>0.37423423423423424</v>
      </c>
      <c r="H12">
        <v>0.62</v>
      </c>
      <c r="I12">
        <v>0.26800000000000002</v>
      </c>
      <c r="Q12">
        <f t="shared" si="0"/>
        <v>0.13815580286168522</v>
      </c>
      <c r="R12">
        <v>0.55000000000000004</v>
      </c>
      <c r="S12">
        <v>7.9000000000000001E-2</v>
      </c>
      <c r="V12">
        <f t="shared" si="1"/>
        <v>7.1292993630573259E-2</v>
      </c>
      <c r="W12">
        <v>0.27300000000000002</v>
      </c>
      <c r="X12">
        <v>4.1000000000000002E-2</v>
      </c>
      <c r="AA12">
        <f t="shared" si="2"/>
        <v>9.6774193548387094E-2</v>
      </c>
      <c r="AB12">
        <v>0.25</v>
      </c>
      <c r="AC12">
        <v>0.06</v>
      </c>
    </row>
    <row r="13" spans="1:32" x14ac:dyDescent="0.75">
      <c r="A13" s="1" t="s">
        <v>16</v>
      </c>
      <c r="B13">
        <f>(2*C13*D13)/(C13+D13)</f>
        <v>6.334630350194552E-2</v>
      </c>
      <c r="C13">
        <v>0.22</v>
      </c>
      <c r="D13">
        <v>3.6999999999999998E-2</v>
      </c>
      <c r="G13">
        <f t="shared" si="3"/>
        <v>0.31324376199616122</v>
      </c>
      <c r="H13">
        <v>0.85</v>
      </c>
      <c r="I13">
        <v>0.192</v>
      </c>
      <c r="L13">
        <f>(2*M13*N13)/(M13+N13)</f>
        <v>0.7349093351242445</v>
      </c>
      <c r="M13">
        <v>0.82899999999999996</v>
      </c>
      <c r="N13">
        <v>0.66</v>
      </c>
      <c r="Q13">
        <f t="shared" si="0"/>
        <v>0.15555555555555556</v>
      </c>
      <c r="R13">
        <v>0.35</v>
      </c>
      <c r="S13">
        <v>0.1</v>
      </c>
      <c r="V13">
        <f t="shared" si="1"/>
        <v>3.0015503875968991E-2</v>
      </c>
      <c r="W13">
        <v>0.24199999999999999</v>
      </c>
      <c r="X13">
        <v>1.6E-2</v>
      </c>
      <c r="AA13">
        <f t="shared" si="2"/>
        <v>7.7449591280653943E-2</v>
      </c>
      <c r="AB13">
        <v>0.32300000000000001</v>
      </c>
      <c r="AC13">
        <v>4.3999999999999997E-2</v>
      </c>
    </row>
    <row r="14" spans="1:32" hidden="1" x14ac:dyDescent="0.75">
      <c r="A14" s="1" t="s">
        <v>7</v>
      </c>
      <c r="B14">
        <f>(2*C14*D14)/(C14+D14)</f>
        <v>0.27736082474226803</v>
      </c>
      <c r="C14">
        <v>0.22800000000000001</v>
      </c>
      <c r="D14">
        <v>0.35399999999999998</v>
      </c>
      <c r="G14">
        <f t="shared" si="3"/>
        <v>0.66438216560509555</v>
      </c>
      <c r="H14">
        <v>0.879</v>
      </c>
      <c r="I14">
        <v>0.53400000000000003</v>
      </c>
      <c r="L14">
        <f>(2*M14*N14)/(M14 + N14)</f>
        <v>0.92795061728395056</v>
      </c>
      <c r="M14">
        <v>0.874</v>
      </c>
      <c r="N14">
        <v>0.98899999999999999</v>
      </c>
    </row>
    <row r="15" spans="1:32" x14ac:dyDescent="0.75">
      <c r="A15" s="1" t="s">
        <v>17</v>
      </c>
      <c r="B15">
        <f>(2*C15*D15)/(C15+D15)</f>
        <v>9.6703296703296707E-2</v>
      </c>
      <c r="C15">
        <v>0.4</v>
      </c>
      <c r="D15">
        <v>5.5E-2</v>
      </c>
      <c r="G15">
        <f t="shared" si="3"/>
        <v>0.45257142857142857</v>
      </c>
      <c r="H15">
        <v>0.72</v>
      </c>
      <c r="I15">
        <v>0.33</v>
      </c>
      <c r="L15">
        <f>(2*M15*N15)/(M15 + N15)</f>
        <v>0.7349093351242445</v>
      </c>
      <c r="M15">
        <v>0.82899999999999996</v>
      </c>
      <c r="N15">
        <v>0.66</v>
      </c>
      <c r="Q15">
        <f t="shared" si="0"/>
        <v>0.44357976653696496</v>
      </c>
      <c r="R15">
        <v>1</v>
      </c>
      <c r="S15">
        <v>0.28499999999999998</v>
      </c>
      <c r="V15">
        <f t="shared" si="1"/>
        <v>8.2568807339449532E-2</v>
      </c>
      <c r="W15">
        <v>0.5</v>
      </c>
      <c r="X15">
        <v>4.4999999999999998E-2</v>
      </c>
      <c r="AA15">
        <f t="shared" ref="AA15:AA26" si="4">(2*AB15*AC15)/(AB15+AC15)</f>
        <v>0.4</v>
      </c>
      <c r="AB15">
        <v>1</v>
      </c>
      <c r="AC15">
        <v>0.25</v>
      </c>
    </row>
    <row r="16" spans="1:32" x14ac:dyDescent="0.75">
      <c r="A16" s="1" t="s">
        <v>18</v>
      </c>
      <c r="B16">
        <v>0</v>
      </c>
      <c r="C16">
        <v>0</v>
      </c>
      <c r="D16">
        <v>0</v>
      </c>
      <c r="G16">
        <f t="shared" si="3"/>
        <v>0.66636627906976742</v>
      </c>
      <c r="H16">
        <v>0.81</v>
      </c>
      <c r="I16">
        <v>0.56599999999999995</v>
      </c>
      <c r="L16">
        <f>(2*M16*N16)/(M16 + N16)</f>
        <v>0.7349093351242445</v>
      </c>
      <c r="M16">
        <v>0.82899999999999996</v>
      </c>
      <c r="N16">
        <v>0.66</v>
      </c>
      <c r="Q16">
        <f t="shared" si="0"/>
        <v>0.59943977591036413</v>
      </c>
      <c r="R16">
        <v>1</v>
      </c>
      <c r="S16">
        <v>0.42799999999999999</v>
      </c>
      <c r="V16">
        <f t="shared" si="1"/>
        <v>8.2568807339449532E-2</v>
      </c>
      <c r="W16">
        <v>0.5</v>
      </c>
      <c r="X16">
        <v>4.4999999999999998E-2</v>
      </c>
      <c r="AA16">
        <f t="shared" si="4"/>
        <v>0.54545454545454541</v>
      </c>
      <c r="AB16">
        <v>1</v>
      </c>
      <c r="AC16">
        <v>0.375</v>
      </c>
    </row>
    <row r="17" spans="1:29" x14ac:dyDescent="0.75">
      <c r="A17" s="1" t="s">
        <v>19</v>
      </c>
      <c r="B17">
        <v>0</v>
      </c>
      <c r="C17">
        <v>0</v>
      </c>
      <c r="D17">
        <v>0</v>
      </c>
      <c r="G17">
        <f t="shared" si="3"/>
        <v>0.77299999999999991</v>
      </c>
      <c r="H17">
        <v>0.77300000000000002</v>
      </c>
      <c r="I17">
        <v>0.77300000000000002</v>
      </c>
      <c r="L17">
        <f t="shared" ref="L17:L18" si="5">(2*M17*N17)/(M17 + N17)</f>
        <v>0.77614824281150163</v>
      </c>
      <c r="M17">
        <v>0.85299999999999998</v>
      </c>
      <c r="N17">
        <v>0.71199999999999997</v>
      </c>
      <c r="Q17">
        <f t="shared" si="0"/>
        <v>0.59943977591036413</v>
      </c>
      <c r="R17">
        <v>1</v>
      </c>
      <c r="S17">
        <v>0.42799999999999999</v>
      </c>
      <c r="V17">
        <f t="shared" si="1"/>
        <v>8.0898876404494377E-2</v>
      </c>
      <c r="W17">
        <v>0.4</v>
      </c>
      <c r="X17">
        <v>4.4999999999999998E-2</v>
      </c>
      <c r="AA17">
        <f t="shared" si="4"/>
        <v>0.76923076923076927</v>
      </c>
      <c r="AB17">
        <v>1</v>
      </c>
      <c r="AC17">
        <v>0.625</v>
      </c>
    </row>
    <row r="18" spans="1:29" x14ac:dyDescent="0.75">
      <c r="A18" s="1" t="s">
        <v>20</v>
      </c>
      <c r="B18">
        <v>0</v>
      </c>
      <c r="C18">
        <v>0</v>
      </c>
      <c r="D18">
        <v>0</v>
      </c>
      <c r="G18">
        <f t="shared" si="3"/>
        <v>0.76365574823378302</v>
      </c>
      <c r="H18">
        <v>0.67100000000000004</v>
      </c>
      <c r="I18">
        <v>0.88600000000000001</v>
      </c>
      <c r="L18">
        <f t="shared" si="5"/>
        <v>0.72788740130449703</v>
      </c>
      <c r="M18">
        <v>0.74450000000000005</v>
      </c>
      <c r="N18">
        <v>0.71199999999999997</v>
      </c>
      <c r="Q18">
        <f t="shared" si="0"/>
        <v>0.59943977591036413</v>
      </c>
      <c r="R18">
        <v>1</v>
      </c>
      <c r="S18">
        <v>0.42799999999999999</v>
      </c>
      <c r="V18">
        <f t="shared" si="1"/>
        <v>4.044117647058823E-2</v>
      </c>
      <c r="W18">
        <v>0.25</v>
      </c>
      <c r="X18">
        <v>2.1999999999999999E-2</v>
      </c>
      <c r="AA18">
        <f t="shared" si="4"/>
        <v>0.76923076923076927</v>
      </c>
      <c r="AB18">
        <v>1</v>
      </c>
      <c r="AC18">
        <v>0.625</v>
      </c>
    </row>
    <row r="19" spans="1:29" x14ac:dyDescent="0.75">
      <c r="A19" s="1" t="s">
        <v>21</v>
      </c>
      <c r="B19">
        <f t="shared" ref="B19:B26" si="6">(2*C19*D19)/(C19+D19)</f>
        <v>0.18947368421052629</v>
      </c>
      <c r="C19">
        <v>0.15254237288135589</v>
      </c>
      <c r="D19">
        <v>0.25</v>
      </c>
      <c r="G19">
        <f t="shared" si="3"/>
        <v>0.45257142857142857</v>
      </c>
      <c r="H19">
        <v>0.72</v>
      </c>
      <c r="I19">
        <v>0.33</v>
      </c>
      <c r="L19">
        <f>(2*M19*N19)/(M19 + N19)</f>
        <v>0.7349093351242445</v>
      </c>
      <c r="M19">
        <v>0.82899999999999996</v>
      </c>
      <c r="N19">
        <v>0.66</v>
      </c>
      <c r="Q19">
        <f t="shared" ref="Q19:Q25" si="7">(2*R19*S19)/(S19+R19)</f>
        <v>0.44357976653696496</v>
      </c>
      <c r="R19">
        <v>1</v>
      </c>
      <c r="S19">
        <v>0.28499999999999998</v>
      </c>
      <c r="V19">
        <f t="shared" si="1"/>
        <v>0.43447800000000003</v>
      </c>
      <c r="W19">
        <v>0.31900000000000001</v>
      </c>
      <c r="X19">
        <v>0.68100000000000005</v>
      </c>
      <c r="AA19">
        <f t="shared" si="4"/>
        <v>0.4</v>
      </c>
      <c r="AB19">
        <v>1</v>
      </c>
      <c r="AC19">
        <v>0.25</v>
      </c>
    </row>
    <row r="20" spans="1:29" x14ac:dyDescent="0.75">
      <c r="A20" s="1" t="s">
        <v>22</v>
      </c>
      <c r="B20">
        <f t="shared" si="6"/>
        <v>0.22000000000000003</v>
      </c>
      <c r="C20">
        <v>0.171875</v>
      </c>
      <c r="D20">
        <v>0.30555555555555558</v>
      </c>
      <c r="G20">
        <f t="shared" si="3"/>
        <v>0.66636627906976742</v>
      </c>
      <c r="H20">
        <v>0.81</v>
      </c>
      <c r="I20">
        <v>0.56599999999999995</v>
      </c>
      <c r="L20">
        <f>(2*M20*N20)/(M20 + N20)</f>
        <v>0.7349093351242445</v>
      </c>
      <c r="M20">
        <v>0.82899999999999996</v>
      </c>
      <c r="N20">
        <v>0.66</v>
      </c>
      <c r="Q20">
        <f t="shared" si="7"/>
        <v>0.59943977591036413</v>
      </c>
      <c r="R20">
        <v>1</v>
      </c>
      <c r="S20">
        <v>0.42799999999999999</v>
      </c>
      <c r="V20">
        <f t="shared" si="1"/>
        <v>0.45205479452054803</v>
      </c>
      <c r="W20">
        <v>0.3235294117647059</v>
      </c>
      <c r="X20">
        <v>0.75</v>
      </c>
      <c r="AA20">
        <f t="shared" si="4"/>
        <v>0.54545454545454541</v>
      </c>
      <c r="AB20">
        <v>1</v>
      </c>
      <c r="AC20">
        <v>0.375</v>
      </c>
    </row>
    <row r="21" spans="1:29" x14ac:dyDescent="0.75">
      <c r="A21" s="1" t="s">
        <v>23</v>
      </c>
      <c r="B21">
        <f t="shared" si="6"/>
        <v>0.28205128205128199</v>
      </c>
      <c r="C21">
        <v>0.18333333333333329</v>
      </c>
      <c r="D21">
        <v>0.61111111111111116</v>
      </c>
      <c r="G21">
        <f t="shared" si="3"/>
        <v>0.77299999999999991</v>
      </c>
      <c r="H21">
        <v>0.77300000000000002</v>
      </c>
      <c r="I21">
        <v>0.77300000000000002</v>
      </c>
      <c r="L21">
        <f t="shared" ref="L21:L23" si="8">(2*M21*N21)/(M21 + N21)</f>
        <v>0.77614824281150163</v>
      </c>
      <c r="M21">
        <v>0.85299999999999998</v>
      </c>
      <c r="N21">
        <v>0.71199999999999997</v>
      </c>
      <c r="Q21">
        <f t="shared" si="7"/>
        <v>0.59943977591036413</v>
      </c>
      <c r="R21">
        <v>1</v>
      </c>
      <c r="S21">
        <v>0.42799999999999999</v>
      </c>
      <c r="V21">
        <f t="shared" si="1"/>
        <v>0.45454545454545453</v>
      </c>
      <c r="W21">
        <v>0.31818181818181818</v>
      </c>
      <c r="X21">
        <v>0.79545454545454541</v>
      </c>
      <c r="AA21">
        <f t="shared" si="4"/>
        <v>0.76923076923076927</v>
      </c>
      <c r="AB21">
        <v>1</v>
      </c>
      <c r="AC21">
        <v>0.625</v>
      </c>
    </row>
    <row r="22" spans="1:29" x14ac:dyDescent="0.75">
      <c r="A22" s="1" t="s">
        <v>24</v>
      </c>
      <c r="B22">
        <f t="shared" si="6"/>
        <v>0.2774566473988439</v>
      </c>
      <c r="C22">
        <v>0.1751824817518248</v>
      </c>
      <c r="D22">
        <v>0.66666666666666663</v>
      </c>
      <c r="G22">
        <f t="shared" si="3"/>
        <v>0.76365574823378302</v>
      </c>
      <c r="H22">
        <v>0.67100000000000004</v>
      </c>
      <c r="I22">
        <v>0.88600000000000001</v>
      </c>
      <c r="L22">
        <f t="shared" si="8"/>
        <v>0.72788740130449703</v>
      </c>
      <c r="M22">
        <v>0.74450000000000005</v>
      </c>
      <c r="N22">
        <v>0.71199999999999997</v>
      </c>
      <c r="Q22">
        <f t="shared" si="7"/>
        <v>0.59943977591036413</v>
      </c>
      <c r="R22">
        <v>1</v>
      </c>
      <c r="S22">
        <v>0.42799999999999999</v>
      </c>
      <c r="V22">
        <f t="shared" si="1"/>
        <v>0.46540880503144649</v>
      </c>
      <c r="W22">
        <v>0.32173913043478258</v>
      </c>
      <c r="X22">
        <v>0.84090909090909094</v>
      </c>
      <c r="AA22">
        <f t="shared" si="4"/>
        <v>0.76923076923076927</v>
      </c>
      <c r="AB22">
        <v>1</v>
      </c>
      <c r="AC22">
        <v>0.625</v>
      </c>
    </row>
    <row r="23" spans="1:29" ht="29.5" x14ac:dyDescent="0.75">
      <c r="A23" s="3" t="s">
        <v>25</v>
      </c>
      <c r="B23" t="s">
        <v>29</v>
      </c>
      <c r="C23" t="s">
        <v>29</v>
      </c>
      <c r="D23" t="s">
        <v>29</v>
      </c>
      <c r="G23">
        <f t="shared" si="3"/>
        <v>0.36619718309859151</v>
      </c>
      <c r="H23">
        <v>0.72222222222222221</v>
      </c>
      <c r="I23">
        <v>0.2452830188679245</v>
      </c>
      <c r="L23">
        <f t="shared" si="8"/>
        <v>0.72328767123287674</v>
      </c>
      <c r="M23">
        <v>0.8</v>
      </c>
      <c r="N23">
        <v>0.66</v>
      </c>
      <c r="Q23">
        <f t="shared" si="7"/>
        <v>0.54545454545454553</v>
      </c>
      <c r="R23">
        <v>0.75</v>
      </c>
      <c r="S23">
        <v>0.42857142857142849</v>
      </c>
      <c r="V23" t="s">
        <v>29</v>
      </c>
      <c r="W23" t="s">
        <v>29</v>
      </c>
      <c r="X23" t="s">
        <v>29</v>
      </c>
      <c r="AA23">
        <f t="shared" si="4"/>
        <v>0.4</v>
      </c>
      <c r="AB23">
        <v>1</v>
      </c>
      <c r="AC23">
        <v>0.25</v>
      </c>
    </row>
    <row r="24" spans="1:29" ht="29.5" x14ac:dyDescent="0.75">
      <c r="A24" s="3" t="s">
        <v>27</v>
      </c>
      <c r="B24">
        <f t="shared" si="6"/>
        <v>0.28985507246376813</v>
      </c>
      <c r="C24">
        <v>0.30303030303030298</v>
      </c>
      <c r="D24">
        <v>0.27777777777777779</v>
      </c>
      <c r="G24">
        <f t="shared" si="3"/>
        <v>0.36619718309859151</v>
      </c>
      <c r="H24">
        <v>0.72222222222222221</v>
      </c>
      <c r="I24">
        <v>0.2452830188679245</v>
      </c>
      <c r="L24">
        <f t="shared" ref="L24" si="9">(2*M24*N24)/(M24 + N24)</f>
        <v>0.72328767123287674</v>
      </c>
      <c r="M24">
        <v>0.8</v>
      </c>
      <c r="N24">
        <v>0.66</v>
      </c>
      <c r="Q24">
        <f t="shared" si="7"/>
        <v>0.54545454545454553</v>
      </c>
      <c r="R24">
        <v>0.75</v>
      </c>
      <c r="S24">
        <v>0.42857142857142849</v>
      </c>
      <c r="V24">
        <f t="shared" si="1"/>
        <v>0.33333333333333331</v>
      </c>
      <c r="W24">
        <v>0.5</v>
      </c>
      <c r="X24">
        <v>0.25</v>
      </c>
      <c r="AA24">
        <f t="shared" si="4"/>
        <v>0.4</v>
      </c>
      <c r="AB24">
        <v>1</v>
      </c>
      <c r="AC24">
        <v>0.25</v>
      </c>
    </row>
    <row r="25" spans="1:29" ht="29.5" x14ac:dyDescent="0.75">
      <c r="A25" s="3" t="s">
        <v>26</v>
      </c>
      <c r="B25" t="s">
        <v>29</v>
      </c>
      <c r="C25" t="s">
        <v>29</v>
      </c>
      <c r="D25" t="s">
        <v>29</v>
      </c>
      <c r="G25">
        <f t="shared" si="3"/>
        <v>0.64864864864864857</v>
      </c>
      <c r="H25">
        <v>0.62068965517241381</v>
      </c>
      <c r="I25">
        <v>0.67924528301886788</v>
      </c>
      <c r="L25">
        <f t="shared" ref="L25:L26" si="10">(2*M25*N25)/(M25 + N25)</f>
        <v>0.72328767123287674</v>
      </c>
      <c r="M25">
        <v>0.8</v>
      </c>
      <c r="N25">
        <v>0.66</v>
      </c>
      <c r="Q25">
        <f t="shared" si="7"/>
        <v>0.6</v>
      </c>
      <c r="R25">
        <v>1</v>
      </c>
      <c r="S25">
        <v>0.42857142857142849</v>
      </c>
      <c r="V25" t="s">
        <v>29</v>
      </c>
      <c r="W25" t="s">
        <v>29</v>
      </c>
      <c r="X25" t="s">
        <v>29</v>
      </c>
      <c r="AA25">
        <f t="shared" si="4"/>
        <v>0.76923076923076927</v>
      </c>
      <c r="AB25">
        <v>1</v>
      </c>
      <c r="AC25">
        <v>0.625</v>
      </c>
    </row>
    <row r="26" spans="1:29" ht="29.5" x14ac:dyDescent="0.75">
      <c r="A26" s="3" t="s">
        <v>28</v>
      </c>
      <c r="B26">
        <f t="shared" si="6"/>
        <v>0.2774566473988439</v>
      </c>
      <c r="C26">
        <v>0.1751824817518248</v>
      </c>
      <c r="D26">
        <v>0.66666666666666663</v>
      </c>
      <c r="G26">
        <f t="shared" si="3"/>
        <v>0.64864864864864857</v>
      </c>
      <c r="H26">
        <v>0.62068965517241381</v>
      </c>
      <c r="I26">
        <v>0.67924528301886788</v>
      </c>
      <c r="L26">
        <f t="shared" si="10"/>
        <v>0.72328767123287674</v>
      </c>
      <c r="M26">
        <v>0.8</v>
      </c>
      <c r="N26">
        <v>0.66</v>
      </c>
      <c r="Q26">
        <f t="shared" ref="Q26" si="11">(2*R26*S26)/(S26+R26)</f>
        <v>0.6</v>
      </c>
      <c r="R26">
        <v>1</v>
      </c>
      <c r="S26">
        <v>0.42857142857142849</v>
      </c>
      <c r="V26">
        <f t="shared" si="1"/>
        <v>0.46666666666666662</v>
      </c>
      <c r="W26">
        <v>0.330188679245283</v>
      </c>
      <c r="X26">
        <v>0.79545454545454541</v>
      </c>
      <c r="AA26">
        <f t="shared" si="4"/>
        <v>0.76923076923076927</v>
      </c>
      <c r="AB26">
        <v>1</v>
      </c>
      <c r="AC26">
        <v>0.625</v>
      </c>
    </row>
    <row r="27" spans="1:29" x14ac:dyDescent="0.75">
      <c r="A27" s="1" t="s">
        <v>30</v>
      </c>
      <c r="B27">
        <v>0</v>
      </c>
      <c r="C27">
        <v>0</v>
      </c>
      <c r="D27">
        <v>0</v>
      </c>
      <c r="G27">
        <v>0.36899999999999999</v>
      </c>
      <c r="H27">
        <v>1</v>
      </c>
      <c r="I27">
        <v>0.22600000000000001</v>
      </c>
      <c r="L27">
        <f>(2*M27*N27)/(M27+N27)</f>
        <v>0.7349093351242445</v>
      </c>
      <c r="M27">
        <v>0.82899999999999996</v>
      </c>
      <c r="N27">
        <v>0.66</v>
      </c>
      <c r="Q27">
        <v>0</v>
      </c>
      <c r="R27">
        <v>0</v>
      </c>
      <c r="S27">
        <v>0</v>
      </c>
      <c r="V27">
        <f t="shared" ref="V27" si="12">(2*W27*X27)/(W27+X27)</f>
        <v>4.044117647058823E-2</v>
      </c>
      <c r="W27">
        <v>0.25</v>
      </c>
      <c r="X27">
        <v>2.1999999999999999E-2</v>
      </c>
      <c r="AA27">
        <f t="shared" ref="AA27" si="13">(2*AB27*AC27)/(AB27+AC27)</f>
        <v>0.4</v>
      </c>
      <c r="AB27">
        <v>1</v>
      </c>
      <c r="AC2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rep accuracies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 Aliashrafi Jodat</dc:creator>
  <cp:lastModifiedBy>Baharin Aliashrafi Jodat</cp:lastModifiedBy>
  <dcterms:created xsi:type="dcterms:W3CDTF">2024-02-08T18:59:48Z</dcterms:created>
  <dcterms:modified xsi:type="dcterms:W3CDTF">2024-05-02T19:33:45Z</dcterms:modified>
</cp:coreProperties>
</file>